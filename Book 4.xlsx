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E544324C-79BA-48E6-B81C-2C53B0A79DA2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heet1" sheetId="1" r:id="rId1"/>
    <sheet name="Sheet2" sheetId="3" r:id="rId2"/>
    <sheet name="FORMULA ING" sheetId="2" r:id="rId3"/>
  </sheets>
  <definedNames>
    <definedName name="patrimonio">Sheet1!$G$18:$G$18</definedName>
    <definedName name="qtd_anos">Sheet1!$G$16</definedName>
    <definedName name="rendimento_carteira">Sheet1!$G$11</definedName>
    <definedName name="salario">Sheet1!$E$10:$E$10</definedName>
    <definedName name="sugestao_investimento">Sheet1!$E$12:$E$12</definedName>
    <definedName name="taxa_mensal">Sheet1!$G$17:$G$17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" i="1" l="1"/>
  <c r="A17" i="3"/>
  <c r="A18" i="3"/>
  <c r="A19" i="3"/>
  <c r="A20" i="3"/>
  <c r="A21" i="3"/>
  <c r="A22" i="3"/>
  <c r="A12" i="3"/>
  <c r="A13" i="3"/>
  <c r="A14" i="3"/>
  <c r="A15" i="3"/>
  <c r="A16" i="3"/>
  <c r="A11" i="3"/>
  <c r="A6" i="3"/>
  <c r="A7" i="3"/>
  <c r="A8" i="3"/>
  <c r="A9" i="3"/>
  <c r="A10" i="3"/>
  <c r="A5" i="3"/>
  <c r="G18" i="1"/>
  <c r="G12" i="1"/>
  <c r="G23" i="1"/>
  <c r="F24" i="1"/>
  <c r="G24" i="1" s="1"/>
  <c r="F25" i="1"/>
  <c r="G25" i="1" s="1"/>
  <c r="F26" i="1"/>
  <c r="G26" i="1" s="1"/>
  <c r="G19" i="1"/>
  <c r="F34" i="1" l="1"/>
  <c r="G34" i="1" s="1"/>
  <c r="F35" i="1"/>
  <c r="G35" i="1" s="1"/>
  <c r="F36" i="1"/>
  <c r="G36" i="1" s="1"/>
  <c r="F37" i="1"/>
  <c r="G37" i="1" s="1"/>
  <c r="F38" i="1"/>
  <c r="G38" i="1" s="1"/>
  <c r="F33" i="1"/>
  <c r="G33" i="1" s="1"/>
  <c r="G39" i="1"/>
</calcChain>
</file>

<file path=xl/sharedStrings.xml><?xml version="1.0" encoding="utf-8"?>
<sst xmlns="http://schemas.openxmlformats.org/spreadsheetml/2006/main" count="72" uniqueCount="36">
  <si>
    <t xml:space="preserve">  </t>
  </si>
  <si>
    <t xml:space="preserve">CONFIGURAÇÕES </t>
  </si>
  <si>
    <t>Salário</t>
  </si>
  <si>
    <t>Rendimento da Carteira</t>
  </si>
  <si>
    <t>Sugestão de Investimento (30%)</t>
  </si>
  <si>
    <t>INVESTIMENTO MENSAL</t>
  </si>
  <si>
    <t xml:space="preserve">Quanto investir por mês?
</t>
  </si>
  <si>
    <t xml:space="preserve">
Por quantos Anos?
</t>
  </si>
  <si>
    <t xml:space="preserve">Taxa de Rendimento mensal?
</t>
  </si>
  <si>
    <t xml:space="preserve">Patrimônio acumulado?
</t>
  </si>
  <si>
    <t>Dividendos Mensais?</t>
  </si>
  <si>
    <t>Cenários</t>
  </si>
  <si>
    <t>Dividendos</t>
  </si>
  <si>
    <t>Quantos em 2 anos?</t>
  </si>
  <si>
    <t>Quantos em 5 anos?</t>
  </si>
  <si>
    <t>Quantos em 10 anos?</t>
  </si>
  <si>
    <t>Quantos em 20 anos?</t>
  </si>
  <si>
    <t>Quantos em 30 anos?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</si>
  <si>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</si>
  <si>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</si>
  <si>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</si>
  <si>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</si>
  <si>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</si>
  <si>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</si>
  <si>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</si>
  <si>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</si>
  <si>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</si>
  <si>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</si>
  <si>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</si>
  <si>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</si>
  <si>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</si>
  <si>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</si>
  <si>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</si>
  <si>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Conservador</t>
  </si>
  <si>
    <t>Agressivo</t>
  </si>
  <si>
    <t>#
PT-BR
ING-EUA
O QUE A FÓRMULA FAZ
1
=SOMA()
=SUM()
Soma todos os números em um intervalo de células.
2
=MÉDIA()
=AVERAGE()
Calcula a média aritmética dos valores selecionados.
3
=CONT.NÚM()
=COUNT()
Conta quantas células contêm apenas números.
4
=CONT.VALORES()
=COUNTA()
Conta células que não estão vazias (texto ou números).
5
=CONT.VAZIO()
=COUNTBLANK()
Conta quantas células estão vazias no intervalo.
6
=MÁXIMO()
=MAX()
Retorna o maior valor numérico de um conjunto.
7
=MÍNIMO()
=MIN()
Retorna o menor valor numérico de um conjunto.
8
=MED()
=MEDIAN()
Encontra o valor central exato de um conjunto de dados.
9
=MODA.UNO()
=MODE.SNGL()
Identifica o número que mais se repete na lista.
10
=ARRED()
=ROUND()
Arredonda um número para uma quantidade específica de dígitos.
11
=TRUNCAR()
=TRUNC()
Remove as casas decimais sem arredondar o valor.
12
=INT()
=INT()
Arredonda o número para baixo até o inteiro mais próximo.
13
=ABS()
=ABS()
Retorna o valor absoluto de um número (sempre positivo).
14
=RAIZQ()
=SQRT()
Calcula a raiz quadrada de um número positivo.
15
=POTÊNCIA()
=POWER()
Eleva um número a uma potência específica (exponenciação).
16
=SE()
=IF()
Testa uma condição e retorna um valor se verdadeiro e outro se falso.
17
=E()
=AND()
Retorna VERDADEIRO se todas as condições forem verdadeiras.
18
=OU()
=OR()
Retorna VERDADEIRO se pelo menos uma condição for verdadeira.
19
=NÃO()
=NOT()
Inverte o valor lógico (transforma Verdadeiro em Falso).
20
=SES()
=IFS()
Testa múltiplas condições sequencialmente sem aninhar vários SEs.
21
=SEERRO()
=IFERROR()
Retorna um valor personalizado se a fórmula resultar em erro.
22
=PROCV()
=VLOOKUP()
Busca um valor na primeira coluna e retorna dado de outra coluna à direita.
23
=PROCX()
=XLOOKUP()
Versão moderna e superior do PROCV, busca em qualquer direção.
24
=ÍNDICE()
=INDEX()
Retorna o valor de uma célula baseado na posição (linha/coluna).
25
=CORRESP()
=MATCH()
Retorna a posição (número) de um item dentro de um intervalo.
26
=DESLOC()
=OFFSET()
Retorna uma referência deslocada de um ponto inicial por X linhas/colunas.
27
=INDIRETO()
=INDIRECT()
Converte uma cadeia de texto em uma referência de célula válida.
28
=ESQUERDA()
=LEFT()
Extrai um número específico de caracteres do início (esquerda) do texto.
29
=DIREITA()
=RIGHT()
Extrai caracteres do final (direita) de uma string de texto.
30
=EXT.TEXTO()
=MID()
Extrai caracteres do meio de um texto, definindo início e quantidade.
31
=LOCALIZAR()
=FIND()
Ensa a posição numérica de um caractere dentro de um texto (case-sensitive).
32
=ARRUMAR()
=TRIM()
Remove espaços extras, deixando apenas um espaço entre palavras.
33
=MAIÚSCULA()
=UPPER()
Converte todo o texto para letras maiúsculas.
34
=MINÚSCULA()
=LOWER()
Converte todo o texto para letras minúsculas.
35
=PRI.MAIÚSCULA()
=PROPER()
Coloca a primeira letra de cada palavra em maiúscula.
36
=CONCAT()
=CONCAT()
Une textos de várias células em uma única célula.
37
=UNIRTEXTO()
=TEXTJOIN()
Une textos definindo um delimitador (vírgula, espaço) e ignorando vazios.
38
=TEXTO()
=TEXT()
Converte um número ou data em texto com formatação específica.
39
=SUBSTITUIR()
=SUBSTITUTE()
Substitui texto existente por novo texto dentro de uma string.
40
=HOJE()
=TODAY()
Retorna a data atual do sistema (atualiza automaticamente).
41
=AGORA()
=NOW()
Retorna a data e a hora atuais do sistema.
42
=DIA(), =MÊS(), =ANO()
=DAY(), =MONTH(), =YEAR()
Extraem partes específicas de uma data completa.
43
=DIATRABALHOTOTAL()
=NETWORKDAYS()
Calcula dias úteis entre duas datas (exclui fins de semana).
44
=FIMMÊS()
=EOMONTH()
Retorna o último dia do mês, X meses antes ou depois de uma data.
45
=CONT.SE()
=COUNTIF()
Conta células que atendem a um único critério específico.
46
=SOMASE()
=SUMIF()
Soma valores que correspondem a um critério definido.
47
=MÉDIASE()
=AVERAGEIF()
Calcula a média apenas dos valores que atendem a um critério.
48
=ALEATÓRIOENTRE()
=RANDBETWEEN()
Gera um número inteiro aleatório entre dois limites definidos.
49
=VALIDAR.DADOS
=DATA VALIDATION
Cria listas suspensas e restringe tipos de entrada na célula.
50
=TABELA DINÂMICA
=PIVOT TABLE
Ferramenta poderosa para resumir, analisar e cruzar grandes volumes de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</si>
</sst>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$-416]\ * #,##0.00_-;\-[$R$-416]\ * #,##0.00_-;_-[$R$-416]\ * &quot;-&quot;??_-;_-@_-"/>
    <numFmt numFmtId="165" formatCode="[$R$-416]\ #,##0.00;[Red]\-[$R$-416]\ #,##0.00"/>
    <numFmt numFmtId="166" formatCode="[$R$-416]\ #,##0.00;[Red][$R$-416]\ #,##0.00"/>
    <numFmt numFmtId="167" formatCode="[$R$-416]\ #,##0.00"/>
  </numFmts>
  <fonts count="15">
    <font>
      <sz val="11"/>
      <color theme="1"/>
      <name val="Calibri"/>
      <family val="2"/>
      <scheme val="minor"/>
    </font>
    <font>
      <b/>
      <sz val="18"/>
      <color rgb="FFE2EFDA"/>
      <name val="Candara"/>
    </font>
    <font>
      <sz val="11"/>
      <color theme="0"/>
      <name val="Calibri"/>
      <family val="2"/>
      <scheme val="minor"/>
    </font>
    <font>
      <sz val="12"/>
      <color theme="9" tint="-0.499984740745262"/>
      <name val="Segoe UI"/>
    </font>
    <font>
      <sz val="11"/>
      <color theme="9" tint="-0.499984740745262"/>
      <name val="Segoe UI"/>
    </font>
    <font>
      <sz val="12"/>
      <color theme="1"/>
      <name val="Segoe UI"/>
    </font>
    <font>
      <b/>
      <sz val="11"/>
      <color theme="1"/>
      <name val="Segoe UI"/>
    </font>
    <font>
      <b/>
      <sz val="12"/>
      <color theme="1"/>
      <name val="Segoe UI"/>
    </font>
    <font>
      <sz val="11"/>
      <color theme="1"/>
      <name val="Segoe UI"/>
    </font>
    <font>
      <b/>
      <sz val="18"/>
      <color rgb="FFE2EFDA"/>
      <name val="Gill Sans MT"/>
    </font>
    <font>
      <b/>
      <sz val="12"/>
      <color rgb="FFE2EFDA"/>
      <name val="Gill Sans MT"/>
    </font>
    <font>
      <b/>
      <sz val="16"/>
      <color theme="0"/>
      <name val="Gill Sans MT"/>
    </font>
    <font>
      <sz val="11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theme="9" tint="0.79998168889431442"/>
      </left>
      <right style="medium">
        <color theme="9" tint="0.79998168889431442"/>
      </right>
      <top style="medium">
        <color theme="9" tint="0.79998168889431442"/>
      </top>
      <bottom style="medium">
        <color theme="9" tint="0.79998168889431442"/>
      </bottom>
      <diagonal/>
    </border>
    <border>
      <left/>
      <right style="medium">
        <color theme="9" tint="0.79998168889431442"/>
      </right>
      <top style="medium">
        <color theme="9" tint="0.79998168889431442"/>
      </top>
      <bottom style="medium">
        <color theme="9" tint="0.79998168889431442"/>
      </bottom>
      <diagonal/>
    </border>
    <border>
      <left style="medium">
        <color theme="9" tint="0.79998168889431442"/>
      </left>
      <right style="medium">
        <color theme="9" tint="0.79998168889431442"/>
      </right>
      <top style="medium">
        <color theme="9" tint="0.79998168889431442"/>
      </top>
      <bottom/>
      <diagonal/>
    </border>
    <border>
      <left style="medium">
        <color theme="9" tint="0.79998168889431442"/>
      </left>
      <right style="medium">
        <color theme="9" tint="0.79998168889431442"/>
      </right>
      <top/>
      <bottom style="medium">
        <color theme="9" tint="0.79998168889431442"/>
      </bottom>
      <diagonal/>
    </border>
    <border>
      <left style="medium">
        <color theme="9" tint="0.79998168889431442"/>
      </left>
      <right/>
      <top style="medium">
        <color theme="9" tint="0.79998168889431442"/>
      </top>
      <bottom style="medium">
        <color theme="9" tint="0.79998168889431442"/>
      </bottom>
      <diagonal/>
    </border>
    <border>
      <left/>
      <right/>
      <top style="medium">
        <color theme="9" tint="0.79998168889431442"/>
      </top>
      <bottom style="medium">
        <color theme="9" tint="0.79998168889431442"/>
      </bottom>
      <diagonal/>
    </border>
    <border>
      <left/>
      <right/>
      <top/>
      <bottom style="double">
        <color theme="9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Border="1"/>
    <xf numFmtId="0" fontId="1" fillId="2" borderId="2" xfId="0" applyFont="1" applyFill="1" applyBorder="1" applyAlignment="1">
      <alignment vertical="center"/>
    </xf>
    <xf numFmtId="0" fontId="3" fillId="7" borderId="1" xfId="0" applyFont="1" applyFill="1" applyBorder="1" applyAlignment="1">
      <alignment vertical="top"/>
    </xf>
    <xf numFmtId="165" fontId="4" fillId="7" borderId="1" xfId="0" applyNumberFormat="1" applyFont="1" applyFill="1" applyBorder="1"/>
    <xf numFmtId="166" fontId="4" fillId="5" borderId="2" xfId="0" applyNumberFormat="1" applyFont="1" applyFill="1" applyBorder="1"/>
    <xf numFmtId="0" fontId="3" fillId="7" borderId="1" xfId="0" applyFont="1" applyFill="1" applyBorder="1"/>
    <xf numFmtId="0" fontId="3" fillId="7" borderId="4" xfId="0" applyFont="1" applyFill="1" applyBorder="1"/>
    <xf numFmtId="165" fontId="4" fillId="7" borderId="4" xfId="0" applyNumberFormat="1" applyFont="1" applyFill="1" applyBorder="1"/>
    <xf numFmtId="166" fontId="4" fillId="5" borderId="1" xfId="0" applyNumberFormat="1" applyFont="1" applyFill="1" applyBorder="1"/>
    <xf numFmtId="164" fontId="6" fillId="3" borderId="2" xfId="0" applyNumberFormat="1" applyFont="1" applyFill="1" applyBorder="1"/>
    <xf numFmtId="0" fontId="6" fillId="3" borderId="2" xfId="0" applyFont="1" applyFill="1" applyBorder="1"/>
    <xf numFmtId="9" fontId="6" fillId="3" borderId="1" xfId="0" applyNumberFormat="1" applyFont="1" applyFill="1" applyBorder="1"/>
    <xf numFmtId="167" fontId="6" fillId="4" borderId="1" xfId="0" applyNumberFormat="1" applyFont="1" applyFill="1" applyBorder="1" applyAlignment="1">
      <alignment horizontal="right" vertical="center"/>
    </xf>
    <xf numFmtId="167" fontId="8" fillId="0" borderId="1" xfId="0" applyNumberFormat="1" applyFont="1" applyBorder="1" applyAlignment="1">
      <alignment horizontal="left"/>
    </xf>
    <xf numFmtId="9" fontId="8" fillId="0" borderId="1" xfId="0" applyNumberFormat="1" applyFont="1" applyBorder="1" applyAlignment="1">
      <alignment horizontal="left"/>
    </xf>
    <xf numFmtId="0" fontId="9" fillId="2" borderId="3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12" fillId="8" borderId="0" xfId="0" applyFont="1" applyFill="1" applyAlignment="1">
      <alignment horizontal="center" vertical="top"/>
    </xf>
    <xf numFmtId="0" fontId="12" fillId="8" borderId="0" xfId="0" applyFont="1" applyFill="1" applyAlignment="1">
      <alignment horizontal="center"/>
    </xf>
    <xf numFmtId="0" fontId="13" fillId="7" borderId="0" xfId="0" applyFont="1" applyFill="1" applyAlignment="1">
      <alignment horizontal="center" vertical="top"/>
    </xf>
    <xf numFmtId="167" fontId="13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3" fillId="9" borderId="0" xfId="0" applyFont="1" applyFill="1" applyAlignment="1">
      <alignment horizontal="center" vertical="top"/>
    </xf>
    <xf numFmtId="0" fontId="13" fillId="9" borderId="0" xfId="0" applyFont="1" applyFill="1" applyAlignment="1">
      <alignment horizontal="center"/>
    </xf>
    <xf numFmtId="9" fontId="0" fillId="5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0" fillId="9" borderId="0" xfId="0" applyFont="1" applyFill="1" applyAlignment="1">
      <alignment horizontal="center" vertical="top"/>
    </xf>
    <xf numFmtId="0" fontId="0" fillId="9" borderId="0" xfId="0" applyFont="1" applyFill="1" applyAlignment="1">
      <alignment horizontal="center"/>
    </xf>
    <xf numFmtId="167" fontId="0" fillId="9" borderId="0" xfId="0" applyNumberFormat="1" applyFont="1" applyFill="1" applyAlignment="1">
      <alignment horizontal="center"/>
    </xf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0" fontId="0" fillId="12" borderId="0" xfId="0" applyFont="1" applyFill="1"/>
    <xf numFmtId="0" fontId="0" fillId="12" borderId="0" xfId="0" applyFont="1" applyFill="1" applyAlignment="1">
      <alignment horizontal="center"/>
    </xf>
    <xf numFmtId="0" fontId="0" fillId="12" borderId="0" xfId="0" applyFont="1" applyFill="1" applyAlignment="1">
      <alignment horizontal="center" vertical="top"/>
    </xf>
    <xf numFmtId="0" fontId="0" fillId="11" borderId="0" xfId="0" applyFont="1" applyFill="1"/>
    <xf numFmtId="0" fontId="0" fillId="11" borderId="0" xfId="0" applyFont="1" applyFill="1" applyAlignment="1">
      <alignment horizontal="center" vertical="top"/>
    </xf>
    <xf numFmtId="9" fontId="0" fillId="13" borderId="0" xfId="0" applyNumberFormat="1" applyFill="1" applyAlignment="1">
      <alignment horizontal="center"/>
    </xf>
    <xf numFmtId="0" fontId="0" fillId="12" borderId="0" xfId="0" applyFont="1" applyFill="1" applyBorder="1"/>
    <xf numFmtId="0" fontId="0" fillId="12" borderId="0" xfId="0" applyFont="1" applyFill="1" applyBorder="1" applyAlignment="1">
      <alignment horizontal="center" vertical="top"/>
    </xf>
    <xf numFmtId="0" fontId="0" fillId="11" borderId="7" xfId="0" applyFont="1" applyFill="1" applyBorder="1"/>
    <xf numFmtId="0" fontId="0" fillId="11" borderId="7" xfId="0" applyFont="1" applyFill="1" applyBorder="1" applyAlignment="1">
      <alignment horizontal="center" vertical="top"/>
    </xf>
    <xf numFmtId="0" fontId="0" fillId="12" borderId="7" xfId="0" applyFont="1" applyFill="1" applyBorder="1"/>
    <xf numFmtId="0" fontId="0" fillId="12" borderId="7" xfId="0" applyFont="1" applyFill="1" applyBorder="1" applyAlignment="1">
      <alignment horizontal="center"/>
    </xf>
    <xf numFmtId="0" fontId="0" fillId="12" borderId="7" xfId="0" applyFont="1" applyFill="1" applyBorder="1" applyAlignment="1">
      <alignment horizontal="center" vertical="top"/>
    </xf>
    <xf numFmtId="9" fontId="0" fillId="13" borderId="7" xfId="0" applyNumberFormat="1" applyFill="1" applyBorder="1" applyAlignment="1">
      <alignment horizontal="center"/>
    </xf>
    <xf numFmtId="9" fontId="0" fillId="13" borderId="0" xfId="0" applyNumberFormat="1" applyFill="1"/>
    <xf numFmtId="9" fontId="0" fillId="13" borderId="7" xfId="0" applyNumberFormat="1" applyFill="1" applyBorder="1"/>
    <xf numFmtId="9" fontId="0" fillId="13" borderId="0" xfId="0" applyNumberFormat="1" applyFill="1" applyBorder="1"/>
    <xf numFmtId="0" fontId="5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top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right" vertical="center" wrapText="1" indent="2"/>
    </xf>
    <xf numFmtId="0" fontId="10" fillId="2" borderId="2" xfId="0" applyFont="1" applyFill="1" applyBorder="1" applyAlignment="1">
      <alignment horizontal="right" vertical="center" wrapText="1" indent="2"/>
    </xf>
    <xf numFmtId="0" fontId="5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Sheet1!$E$33:$E$38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Sheet1!$F$33:$F$38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6-47FF-8D0D-64F9D3E10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1</xdr:row>
      <xdr:rowOff>76200</xdr:rowOff>
    </xdr:from>
    <xdr:to>
      <xdr:col>6</xdr:col>
      <xdr:colOff>514350</xdr:colOff>
      <xdr:row>6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717C54-908C-3B12-1731-B96DF6939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0" y="266700"/>
          <a:ext cx="4886325" cy="1057275"/>
        </a:xfrm>
        <a:prstGeom prst="rect">
          <a:avLst/>
        </a:prstGeom>
      </xdr:spPr>
    </xdr:pic>
    <xdr:clientData/>
  </xdr:twoCellAnchor>
  <xdr:twoCellAnchor>
    <xdr:from>
      <xdr:col>3</xdr:col>
      <xdr:colOff>600075</xdr:colOff>
      <xdr:row>39</xdr:row>
      <xdr:rowOff>85725</xdr:rowOff>
    </xdr:from>
    <xdr:to>
      <xdr:col>6</xdr:col>
      <xdr:colOff>466725</xdr:colOff>
      <xdr:row>54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7696C2-D838-B675-B3BC-D146237FF7D6}"/>
            </a:ext>
            <a:ext uri="{147F2762-F138-4A5C-976F-8EAC2B608ADB}">
              <a16:predDERef xmlns:a16="http://schemas.microsoft.com/office/drawing/2014/main" pred="{69717C54-908C-3B12-1731-B96DF6939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FC9CC0-E463-4A63-A46B-BE49802FD9B0}">
  <we:reference id="WA200005502" version="1.0.0.13" store="en-US" storeType="omex"/>
  <we:alternateReferences>
    <we:reference id="WA200005502" version="1.0.0.13" store="en-US" storeType="omex"/>
  </we:alternateReferences>
  <we:properties>
    <we:property name="docId" value="&quot;KYG4taMtJEdn1mOOr2SS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9"/>
  <sheetViews>
    <sheetView showGridLines="0" showRowColHeaders="0" tabSelected="1" topLeftCell="A26" workbookViewId="0">
      <selection activeCell="F29" sqref="F29"/>
    </sheetView>
  </sheetViews>
  <sheetFormatPr defaultColWidth="0" defaultRowHeight="15"/>
  <cols>
    <col min="1" max="4" width="9.140625" customWidth="1"/>
    <col min="5" max="5" width="46" style="1" bestFit="1" customWidth="1"/>
    <col min="6" max="6" width="19.28515625" bestFit="1" customWidth="1"/>
    <col min="7" max="7" width="14.42578125" bestFit="1" customWidth="1"/>
    <col min="8" max="8" width="4.7109375" customWidth="1"/>
    <col min="9" max="9" width="3.5703125" customWidth="1"/>
    <col min="10" max="12" width="9.140625" hidden="1" customWidth="1"/>
    <col min="13" max="14" width="9.140625" hidden="1"/>
  </cols>
  <sheetData>
    <row r="3" spans="2:7" ht="15" customHeight="1">
      <c r="B3" t="s">
        <v>0</v>
      </c>
    </row>
    <row r="5" spans="2:7" ht="15" customHeight="1"/>
    <row r="9" spans="2:7" ht="24.75">
      <c r="E9" s="58" t="s">
        <v>1</v>
      </c>
      <c r="F9" s="59"/>
      <c r="G9" s="60"/>
    </row>
    <row r="10" spans="2:7" ht="17.25">
      <c r="E10" s="56" t="s">
        <v>2</v>
      </c>
      <c r="F10" s="56"/>
      <c r="G10" s="19">
        <v>2000</v>
      </c>
    </row>
    <row r="11" spans="2:7" ht="17.25">
      <c r="E11" s="56" t="s">
        <v>3</v>
      </c>
      <c r="F11" s="56"/>
      <c r="G11" s="20">
        <v>7.0000000000000001E-3</v>
      </c>
    </row>
    <row r="12" spans="2:7" ht="17.25">
      <c r="E12" s="56" t="s">
        <v>4</v>
      </c>
      <c r="F12" s="56"/>
      <c r="G12" s="19">
        <f>G10*30%</f>
        <v>600</v>
      </c>
    </row>
    <row r="14" spans="2:7" ht="27.75">
      <c r="E14" s="21" t="s">
        <v>5</v>
      </c>
      <c r="F14" s="22"/>
      <c r="G14" s="7"/>
    </row>
    <row r="15" spans="2:7" ht="30.75" customHeight="1">
      <c r="E15" s="63" t="s">
        <v>6</v>
      </c>
      <c r="F15" s="63"/>
      <c r="G15" s="15">
        <v>1260</v>
      </c>
    </row>
    <row r="16" spans="2:7" ht="46.5" customHeight="1">
      <c r="E16" s="64" t="s">
        <v>7</v>
      </c>
      <c r="F16" s="64"/>
      <c r="G16" s="16">
        <v>5</v>
      </c>
    </row>
    <row r="17" spans="4:7" ht="30.75" customHeight="1">
      <c r="E17" s="65" t="s">
        <v>8</v>
      </c>
      <c r="F17" s="65"/>
      <c r="G17" s="17">
        <v>1.0800000000000001E-2</v>
      </c>
    </row>
    <row r="18" spans="4:7" ht="30.75" customHeight="1">
      <c r="E18" s="66" t="s">
        <v>9</v>
      </c>
      <c r="F18" s="66"/>
      <c r="G18" s="18">
        <f>FV(G17,G16*12,-G15)</f>
        <v>105593.06439266562</v>
      </c>
    </row>
    <row r="19" spans="4:7" ht="17.25">
      <c r="E19" s="57" t="s">
        <v>10</v>
      </c>
      <c r="F19" s="57"/>
      <c r="G19" s="18">
        <f>G18*$G$11</f>
        <v>739.15145074865939</v>
      </c>
    </row>
    <row r="20" spans="4:7" ht="20.25" customHeight="1"/>
    <row r="21" spans="4:7" ht="21" customHeight="1">
      <c r="E21" s="21" t="s">
        <v>11</v>
      </c>
      <c r="F21" s="61" t="s">
        <v>12</v>
      </c>
      <c r="G21" s="62"/>
    </row>
    <row r="22" spans="4:7" ht="24.75" customHeight="1">
      <c r="D22" s="6"/>
      <c r="E22" s="8" t="s">
        <v>13</v>
      </c>
      <c r="F22" s="9">
        <v>13613</v>
      </c>
      <c r="G22" s="10">
        <f>F22*G11</f>
        <v>95.290999999999997</v>
      </c>
    </row>
    <row r="23" spans="4:7" ht="23.25" customHeight="1">
      <c r="E23" s="8" t="s">
        <v>14</v>
      </c>
      <c r="F23" s="9">
        <v>41888</v>
      </c>
      <c r="G23" s="10">
        <f>F23*G11</f>
        <v>293.21600000000001</v>
      </c>
    </row>
    <row r="24" spans="4:7" ht="18.75" customHeight="1">
      <c r="E24" s="8" t="s">
        <v>15</v>
      </c>
      <c r="F24" s="9">
        <f>FV($G$17,$D27*12,$G$15*-1)</f>
        <v>306756.65948104812</v>
      </c>
      <c r="G24" s="10">
        <f>F24*G11</f>
        <v>2147.2966163673368</v>
      </c>
    </row>
    <row r="25" spans="4:7" ht="17.25">
      <c r="E25" s="11" t="s">
        <v>16</v>
      </c>
      <c r="F25" s="9">
        <f>FV($G$17,$D28*12,$G$15*-1)</f>
        <v>1420081.7315561394</v>
      </c>
      <c r="G25" s="10">
        <f>F25*G11</f>
        <v>9940.5721208929754</v>
      </c>
    </row>
    <row r="26" spans="4:7" ht="17.25">
      <c r="E26" s="12" t="s">
        <v>17</v>
      </c>
      <c r="F26" s="13">
        <f>FV($G$17,$D29*12,$G$15*-1)</f>
        <v>5460720.0609991066</v>
      </c>
      <c r="G26" s="14">
        <f>F26*G11</f>
        <v>38225.04042699375</v>
      </c>
    </row>
    <row r="27" spans="4:7">
      <c r="D27" s="2">
        <v>10</v>
      </c>
    </row>
    <row r="28" spans="4:7">
      <c r="D28" s="2">
        <v>20</v>
      </c>
    </row>
    <row r="29" spans="4:7">
      <c r="D29" s="2">
        <v>30</v>
      </c>
      <c r="E29" s="23" t="s">
        <v>18</v>
      </c>
      <c r="F29" s="24" t="s">
        <v>19</v>
      </c>
      <c r="G29" s="24"/>
    </row>
    <row r="30" spans="4:7">
      <c r="E30" s="25" t="s">
        <v>20</v>
      </c>
      <c r="F30" s="26">
        <v>200</v>
      </c>
      <c r="G30" s="27"/>
    </row>
    <row r="31" spans="4:7">
      <c r="E31" s="28"/>
      <c r="F31" s="29"/>
      <c r="G31" s="29"/>
    </row>
    <row r="32" spans="4:7">
      <c r="E32" s="30" t="s">
        <v>21</v>
      </c>
      <c r="F32" s="31" t="s">
        <v>22</v>
      </c>
      <c r="G32" s="31" t="s">
        <v>23</v>
      </c>
    </row>
    <row r="33" spans="5:7">
      <c r="E33" s="28" t="s">
        <v>24</v>
      </c>
      <c r="F33" s="32">
        <f>VLOOKUP($F$29&amp;"-"&amp;E33,Sheet2!A4:$D$22,4,FALSE)</f>
        <v>0.32</v>
      </c>
      <c r="G33" s="33">
        <f>F33*$F$30</f>
        <v>64</v>
      </c>
    </row>
    <row r="34" spans="5:7">
      <c r="E34" s="28" t="s">
        <v>25</v>
      </c>
      <c r="F34" s="32">
        <f>VLOOKUP($F$29&amp;"-"&amp;E34,Sheet2!A5:$D$22,4,FALSE)</f>
        <v>0.35</v>
      </c>
      <c r="G34" s="33">
        <f>F34*$F$30</f>
        <v>70</v>
      </c>
    </row>
    <row r="35" spans="5:7">
      <c r="E35" s="28" t="s">
        <v>26</v>
      </c>
      <c r="F35" s="32">
        <f>VLOOKUP($F$29&amp;"-"&amp;E35,Sheet2!A6:$D$22,4,FALSE)</f>
        <v>0.08</v>
      </c>
      <c r="G35" s="33">
        <f>F35*$F$30</f>
        <v>16</v>
      </c>
    </row>
    <row r="36" spans="5:7">
      <c r="E36" s="28" t="s">
        <v>27</v>
      </c>
      <c r="F36" s="32">
        <f>VLOOKUP($F$29&amp;"-"&amp;E36,Sheet2!A7:$D$22,4,FALSE)</f>
        <v>0.05</v>
      </c>
      <c r="G36" s="33">
        <f>F36*$F$30</f>
        <v>10</v>
      </c>
    </row>
    <row r="37" spans="5:7">
      <c r="E37" s="28" t="s">
        <v>28</v>
      </c>
      <c r="F37" s="32">
        <f>VLOOKUP($F$29&amp;"-"&amp;E37,Sheet2!A8:$D$22,4,FALSE)</f>
        <v>0.1</v>
      </c>
      <c r="G37" s="33">
        <f>F37*$F$30</f>
        <v>20</v>
      </c>
    </row>
    <row r="38" spans="5:7">
      <c r="E38" s="28" t="s">
        <v>29</v>
      </c>
      <c r="F38" s="32">
        <f>VLOOKUP($F$29&amp;"-"&amp;E38,Sheet2!A9:$D$22,4,FALSE)</f>
        <v>0.1</v>
      </c>
      <c r="G38" s="33">
        <f>F38*$F$30</f>
        <v>20</v>
      </c>
    </row>
    <row r="39" spans="5:7">
      <c r="E39" s="34"/>
      <c r="F39" s="35"/>
      <c r="G39" s="36">
        <f>SUM(G33:G38)</f>
        <v>200</v>
      </c>
    </row>
  </sheetData>
  <mergeCells count="10">
    <mergeCell ref="F21:G21"/>
    <mergeCell ref="E15:F15"/>
    <mergeCell ref="E16:F16"/>
    <mergeCell ref="E17:F17"/>
    <mergeCell ref="E18:F18"/>
    <mergeCell ref="E10:F10"/>
    <mergeCell ref="E12:F12"/>
    <mergeCell ref="E11:F11"/>
    <mergeCell ref="E19:F19"/>
    <mergeCell ref="E9:G9"/>
  </mergeCells>
  <dataValidations count="1">
    <dataValidation type="list" allowBlank="1" showInputMessage="1" showErrorMessage="1" sqref="F29" xr:uid="{C6A148CE-ABE2-48F9-85FD-0CCD6F88767F}">
      <formula1>"Agressivo,Conservador,Moderado"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3F4E-F28A-432F-B368-6CB6A7E482D3}">
  <dimension ref="A4:D23"/>
  <sheetViews>
    <sheetView workbookViewId="0">
      <selection activeCell="D15" sqref="D15"/>
    </sheetView>
  </sheetViews>
  <sheetFormatPr defaultRowHeight="15"/>
  <cols>
    <col min="1" max="1" width="31.28515625" bestFit="1" customWidth="1"/>
    <col min="2" max="2" width="12.140625" bestFit="1" customWidth="1"/>
    <col min="3" max="3" width="19.28515625" bestFit="1" customWidth="1"/>
    <col min="4" max="4" width="4.85546875" bestFit="1" customWidth="1"/>
  </cols>
  <sheetData>
    <row r="4" spans="1:4" ht="15.75">
      <c r="A4" s="37" t="s">
        <v>30</v>
      </c>
      <c r="B4" s="38" t="s">
        <v>31</v>
      </c>
      <c r="C4" s="38" t="s">
        <v>21</v>
      </c>
      <c r="D4" s="38" t="s">
        <v>32</v>
      </c>
    </row>
    <row r="5" spans="1:4">
      <c r="A5" s="39" t="str">
        <f>B5&amp;"-"&amp;C5</f>
        <v>Conservador-PAPEL</v>
      </c>
      <c r="B5" s="40" t="s">
        <v>33</v>
      </c>
      <c r="C5" s="41" t="s">
        <v>24</v>
      </c>
      <c r="D5" s="44">
        <v>0.3</v>
      </c>
    </row>
    <row r="6" spans="1:4">
      <c r="A6" s="39" t="str">
        <f t="shared" ref="A6:A10" si="0">B6&amp;"-"&amp;C6</f>
        <v>Conservador-TIJOLO</v>
      </c>
      <c r="B6" s="40" t="s">
        <v>33</v>
      </c>
      <c r="C6" s="41" t="s">
        <v>25</v>
      </c>
      <c r="D6" s="44">
        <v>0.5</v>
      </c>
    </row>
    <row r="7" spans="1:4">
      <c r="A7" s="39" t="str">
        <f t="shared" si="0"/>
        <v>Conservador-HÍBRIDOS</v>
      </c>
      <c r="B7" s="40" t="s">
        <v>33</v>
      </c>
      <c r="C7" s="41" t="s">
        <v>26</v>
      </c>
      <c r="D7" s="44">
        <v>0.1</v>
      </c>
    </row>
    <row r="8" spans="1:4">
      <c r="A8" s="39" t="str">
        <f t="shared" si="0"/>
        <v>Conservador-FOFs</v>
      </c>
      <c r="B8" s="40" t="s">
        <v>33</v>
      </c>
      <c r="C8" s="41" t="s">
        <v>27</v>
      </c>
      <c r="D8" s="44">
        <v>0.1</v>
      </c>
    </row>
    <row r="9" spans="1:4">
      <c r="A9" s="39" t="str">
        <f t="shared" si="0"/>
        <v>Conservador-DESENVOLVIMENTO</v>
      </c>
      <c r="B9" s="40" t="s">
        <v>33</v>
      </c>
      <c r="C9" s="41" t="s">
        <v>28</v>
      </c>
      <c r="D9" s="44">
        <v>0</v>
      </c>
    </row>
    <row r="10" spans="1:4">
      <c r="A10" s="49" t="str">
        <f t="shared" si="0"/>
        <v>Conservador-HOTELARIAS</v>
      </c>
      <c r="B10" s="50" t="s">
        <v>33</v>
      </c>
      <c r="C10" s="51" t="s">
        <v>29</v>
      </c>
      <c r="D10" s="52">
        <v>0</v>
      </c>
    </row>
    <row r="11" spans="1:4">
      <c r="A11" s="42" t="str">
        <f>$B$11&amp;"-"&amp;C11</f>
        <v>Moderado-PAPEL</v>
      </c>
      <c r="B11" s="42" t="s">
        <v>19</v>
      </c>
      <c r="C11" s="43" t="s">
        <v>24</v>
      </c>
      <c r="D11" s="53">
        <v>0.32</v>
      </c>
    </row>
    <row r="12" spans="1:4">
      <c r="A12" s="42" t="str">
        <f t="shared" ref="A12:A16" si="1">$B$11&amp;"-"&amp;C12</f>
        <v>Moderado-TIJOLO</v>
      </c>
      <c r="B12" s="42" t="s">
        <v>19</v>
      </c>
      <c r="C12" s="43" t="s">
        <v>25</v>
      </c>
      <c r="D12" s="53">
        <v>0.35</v>
      </c>
    </row>
    <row r="13" spans="1:4">
      <c r="A13" s="42" t="str">
        <f t="shared" si="1"/>
        <v>Moderado-HÍBRIDOS</v>
      </c>
      <c r="B13" s="42" t="s">
        <v>19</v>
      </c>
      <c r="C13" s="43" t="s">
        <v>26</v>
      </c>
      <c r="D13" s="53">
        <v>0.08</v>
      </c>
    </row>
    <row r="14" spans="1:4">
      <c r="A14" s="42" t="str">
        <f t="shared" si="1"/>
        <v>Moderado-FOFs</v>
      </c>
      <c r="B14" s="42" t="s">
        <v>19</v>
      </c>
      <c r="C14" s="43" t="s">
        <v>27</v>
      </c>
      <c r="D14" s="53">
        <v>0.05</v>
      </c>
    </row>
    <row r="15" spans="1:4">
      <c r="A15" s="42" t="str">
        <f t="shared" si="1"/>
        <v>Moderado-DESENVOLVIMENTO</v>
      </c>
      <c r="B15" s="42" t="s">
        <v>19</v>
      </c>
      <c r="C15" s="43" t="s">
        <v>28</v>
      </c>
      <c r="D15" s="53">
        <v>0.1</v>
      </c>
    </row>
    <row r="16" spans="1:4">
      <c r="A16" s="47" t="str">
        <f t="shared" si="1"/>
        <v>Moderado-HOTELARIAS</v>
      </c>
      <c r="B16" s="47" t="s">
        <v>19</v>
      </c>
      <c r="C16" s="48" t="s">
        <v>29</v>
      </c>
      <c r="D16" s="54">
        <v>0.1</v>
      </c>
    </row>
    <row r="17" spans="1:4">
      <c r="A17" s="45" t="str">
        <f>$B$17&amp;"-"&amp;C17</f>
        <v>Agressivo-PAPEL</v>
      </c>
      <c r="B17" s="45" t="s">
        <v>34</v>
      </c>
      <c r="C17" s="46" t="s">
        <v>24</v>
      </c>
      <c r="D17" s="55">
        <v>0.5</v>
      </c>
    </row>
    <row r="18" spans="1:4">
      <c r="A18" s="39" t="str">
        <f t="shared" ref="A18:A22" si="2">$B$17&amp;"-"&amp;C18</f>
        <v>Agressivo-TIJOLO</v>
      </c>
      <c r="B18" s="45" t="s">
        <v>34</v>
      </c>
      <c r="C18" s="41" t="s">
        <v>25</v>
      </c>
      <c r="D18" s="53">
        <v>0.1</v>
      </c>
    </row>
    <row r="19" spans="1:4">
      <c r="A19" s="39" t="str">
        <f t="shared" si="2"/>
        <v>Agressivo-HÍBRIDOS</v>
      </c>
      <c r="B19" s="45" t="s">
        <v>34</v>
      </c>
      <c r="C19" s="41" t="s">
        <v>26</v>
      </c>
      <c r="D19" s="53">
        <v>0.05</v>
      </c>
    </row>
    <row r="20" spans="1:4">
      <c r="A20" s="39" t="str">
        <f t="shared" si="2"/>
        <v>Agressivo-FOFs</v>
      </c>
      <c r="B20" s="45" t="s">
        <v>34</v>
      </c>
      <c r="C20" s="41" t="s">
        <v>27</v>
      </c>
      <c r="D20" s="53">
        <v>0.05</v>
      </c>
    </row>
    <row r="21" spans="1:4">
      <c r="A21" s="39" t="str">
        <f t="shared" si="2"/>
        <v>Agressivo-DESENVOLVIMENTO</v>
      </c>
      <c r="B21" s="45" t="s">
        <v>34</v>
      </c>
      <c r="C21" s="41" t="s">
        <v>28</v>
      </c>
      <c r="D21" s="53">
        <v>0.2</v>
      </c>
    </row>
    <row r="22" spans="1:4">
      <c r="A22" s="39" t="str">
        <f t="shared" si="2"/>
        <v>Agressivo-HOTELARIAS</v>
      </c>
      <c r="B22" s="45" t="s">
        <v>34</v>
      </c>
      <c r="C22" s="41" t="s">
        <v>29</v>
      </c>
      <c r="D22" s="53">
        <v>0.1</v>
      </c>
    </row>
    <row r="23" spans="1:4">
      <c r="C23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5DFC-96B6-48EE-9CFD-C379D748BE70}">
  <dimension ref="C1:I85"/>
  <sheetViews>
    <sheetView topLeftCell="A7" workbookViewId="0">
      <selection activeCell="C8" sqref="C8"/>
    </sheetView>
  </sheetViews>
  <sheetFormatPr defaultRowHeight="15"/>
  <cols>
    <col min="3" max="3" width="70.140625" bestFit="1" customWidth="1"/>
  </cols>
  <sheetData>
    <row r="1" spans="3:9">
      <c r="I1" t="s">
        <v>0</v>
      </c>
    </row>
    <row r="8" spans="3:9" ht="409.6">
      <c r="C8" s="5" t="s">
        <v>35</v>
      </c>
    </row>
    <row r="80" spans="3:3">
      <c r="C80" s="3"/>
    </row>
    <row r="85" spans="3:3">
      <c r="C8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2026-09-23T20:11:33Z</dcterms:created>
  <dcterms:modified xsi:type="dcterms:W3CDTF">2026-09-30T23:12:17Z</dcterms:modified>
  <cp:category/>
  <cp:contentStatus/>
</cp:coreProperties>
</file>